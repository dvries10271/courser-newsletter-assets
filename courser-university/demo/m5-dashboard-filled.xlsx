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10">
    <font>
      <name val="Calibri"/>
      <family val="2"/>
      <color theme="1"/>
      <sz val="11"/>
      <scheme val="minor"/>
    </font>
    <font>
      <b val="1"/>
      <color rgb="000E2A46"/>
      <sz val="16"/>
    </font>
    <font>
      <color rgb="005A6B80"/>
      <sz val="10"/>
    </font>
    <font>
      <b val="1"/>
      <color rgb="000E2A46"/>
      <sz val="11"/>
    </font>
    <font>
      <color rgb="001C2937"/>
      <sz val="10"/>
    </font>
    <font>
      <color rgb="005A6B80"/>
      <sz val="9"/>
    </font>
    <font>
      <b val="1"/>
      <color rgb="00FFFFFF"/>
      <sz val="11"/>
    </font>
    <font>
      <b val="1"/>
      <color rgb="00FFFFFF"/>
      <sz val="10"/>
    </font>
    <font>
      <i val="1"/>
      <color rgb="005A6B80"/>
      <sz val="10"/>
    </font>
    <font>
      <b val="1"/>
      <color rgb="000E2A46"/>
      <sz val="10"/>
    </font>
  </fonts>
  <fills count="5">
    <fill>
      <patternFill/>
    </fill>
    <fill>
      <patternFill patternType="gray125"/>
    </fill>
    <fill>
      <patternFill patternType="solid">
        <fgColor rgb="000E2A46"/>
      </patternFill>
    </fill>
    <fill>
      <patternFill patternType="solid">
        <fgColor rgb="002470B3"/>
      </patternFill>
    </fill>
    <fill>
      <patternFill patternType="solid">
        <fgColor rgb="00F2F6FA"/>
      </patternFill>
    </fill>
  </fills>
  <borders count="6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  <border>
      <left/>
      <right/>
      <top style="thin">
        <color rgb="00C7D3E0"/>
      </top>
      <bottom/>
      <diagonal/>
    </border>
    <border>
      <left/>
      <right style="thin">
        <color rgb="00C7D3E0"/>
      </right>
      <top style="thin">
        <color rgb="00C7D3E0"/>
      </top>
      <bottom/>
      <diagonal/>
    </border>
    <border>
      <left/>
      <right/>
      <top style="thin">
        <color rgb="00C7D3E0"/>
      </top>
      <bottom style="thin">
        <color rgb="00C7D3E0"/>
      </bottom>
      <diagonal/>
    </border>
    <border>
      <left/>
      <right style="thin">
        <color rgb="00C7D3E0"/>
      </right>
      <top style="thin">
        <color rgb="00C7D3E0"/>
      </top>
      <bottom style="thin">
        <color rgb="00C7D3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2" borderId="0" applyAlignment="1" pivotButton="0" quotePrefix="0" xfId="0">
      <alignment vertical="center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9" fontId="8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7" fillId="2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GEN AI READY — Module 5: AI Value Dashboard</t>
        </is>
      </c>
    </row>
    <row r="2">
      <c r="A2" s="2" t="inlineStr">
        <is>
          <t>Courser University · one page, five sections, one row per win. Written down, not vibes.</t>
        </is>
      </c>
    </row>
    <row r="3">
      <c r="A3" s="3" t="n"/>
    </row>
    <row r="4">
      <c r="A4" s="4" t="inlineStr">
        <is>
          <t>HOW TO USE THIS TEMPLATE</t>
        </is>
      </c>
    </row>
    <row r="5">
      <c r="A5" s="5" t="inlineStr">
        <is>
          <t>1. File → Make a copy — save it to your own Google Drive first (this template is view-only).</t>
        </is>
      </c>
    </row>
    <row r="6">
      <c r="A6" s="5" t="inlineStr">
        <is>
          <t>2. 'Dashboard' tab: add one row per win — start with the three wins from your Module 1 shortlist. Gray rows are worked examples; overwrite nothing, type into the Win #1–3 rows.</t>
        </is>
      </c>
    </row>
    <row r="7">
      <c r="A7" s="5" t="inlineStr">
        <is>
          <t>3. Baseline honesty: before/after on the SAME measure you baselined. If you didn't baseline it, your first month IS the baseline — write it down.</t>
        </is>
      </c>
    </row>
    <row r="8">
      <c r="A8" s="5" t="inlineStr">
        <is>
          <t>4. The formulas do the arithmetic: adoption rate, time-savings value, ROI %, payback months, and progress toward each goal calculate themselves.</t>
        </is>
      </c>
    </row>
    <row r="9">
      <c r="A9" s="5" t="inlineStr">
        <is>
          <t>5. 'Monthly read' tab: same day each month, twenty minutes, three decisions per row — scale, fix, or kill. A number that hasn't moved in two reads gets fixed once, then killed.</t>
        </is>
      </c>
    </row>
    <row r="10">
      <c r="A10" s="3" t="n"/>
    </row>
    <row r="11">
      <c r="A11" s="6" t="inlineStr">
        <is>
          <t>Refresh rhythm (from the AI READY Companion Guide, Appendix D): daily for adoption, weekly for time savings, monthly for ROI, satisfaction, and business outcomes.</t>
        </is>
      </c>
    </row>
    <row r="12">
      <c r="A12" s="6" t="inlineStr">
        <is>
          <t>Bring the current read to your included strategy session — it's the sharpest conversation starter you can hand the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7" t="inlineStr">
        <is>
          <t>AI VALUE DASHBOARD — one page, five sections, one row per win</t>
        </is>
      </c>
    </row>
    <row r="2">
      <c r="A2" s="8" t="inlineStr">
        <is>
          <t>Before/after on the SAME measure you baselined. If you didn't baseline it, your first month IS the baseline.</t>
        </is>
      </c>
    </row>
    <row r="4" ht="22" customHeight="1">
      <c r="A4" s="9" t="inlineStr">
        <is>
          <t>SECTION 1: ADOPTION SNAPSHOT   ·   “Are people using it?”   ·   refresh: daily / weekly</t>
        </is>
      </c>
    </row>
    <row r="5">
      <c r="A5" s="10" t="inlineStr">
        <is>
          <t>Win / workflow</t>
        </is>
      </c>
      <c r="B5" s="10" t="inlineStr">
        <is>
          <t>Eligible users</t>
        </is>
      </c>
      <c r="C5" s="10" t="inlineStr">
        <is>
          <t>Weekly active users</t>
        </is>
      </c>
      <c r="D5" s="10" t="inlineStr">
        <is>
          <t>Adoption rate</t>
        </is>
      </c>
      <c r="E5" s="10" t="inlineStr">
        <is>
          <t>Target</t>
        </is>
      </c>
      <c r="F5" s="10" t="inlineStr">
        <is>
          <t>Status (auto)</t>
        </is>
      </c>
      <c r="G5" s="10" t="inlineStr">
        <is>
          <t>Training completed</t>
        </is>
      </c>
      <c r="H5" s="10" t="inlineStr">
        <is>
          <t>Notes</t>
        </is>
      </c>
    </row>
    <row r="6" ht="30" customHeight="1">
      <c r="A6" s="11" t="inlineStr">
        <is>
          <t>Invoice processing (example)</t>
        </is>
      </c>
      <c r="B6" s="11" t="n">
        <v>100</v>
      </c>
      <c r="C6" s="11" t="n">
        <v>73</v>
      </c>
      <c r="D6" s="12">
        <f>IF(OR($B6="",$C6=""),"",$C6/$B6)</f>
        <v/>
      </c>
      <c r="E6" s="12" t="n">
        <v>0.7</v>
      </c>
      <c r="F6" s="11">
        <f>IF($D6="","",IF($D6&gt;=0.7,"On track",IF($D6&gt;=0.5,"Watch","Off track")))</f>
        <v/>
      </c>
      <c r="G6" s="12" t="n">
        <v>0.9</v>
      </c>
      <c r="H6" s="11" t="inlineStr">
        <is>
          <t>WAU from your tool's usage/admin reports</t>
        </is>
      </c>
    </row>
    <row r="7" ht="30" customHeight="1">
      <c r="A7" s="13" t="inlineStr">
        <is>
          <t>Proposal drafting</t>
        </is>
      </c>
      <c r="B7" s="14" t="n">
        <v>12</v>
      </c>
      <c r="C7" s="14" t="n">
        <v>9</v>
      </c>
      <c r="D7" s="15">
        <f>IF(OR($B7="",$C7=""),"",$C7/$B7)</f>
        <v/>
      </c>
      <c r="E7" s="15" t="n">
        <v>0.7</v>
      </c>
      <c r="F7" s="14">
        <f>IF($D7="","",IF($D7&gt;=0.7,"On track",IF($D7&gt;=0.5,"Watch","Off track")))</f>
        <v/>
      </c>
      <c r="G7" s="15" t="n">
        <v>0.75</v>
      </c>
      <c r="H7" s="14" t="inlineStr">
        <is>
          <t>Sales + ops reviewers</t>
        </is>
      </c>
    </row>
    <row r="8" ht="30" customHeight="1">
      <c r="A8" s="13" t="inlineStr">
        <is>
          <t>Meeting notes → actions</t>
        </is>
      </c>
      <c r="B8" s="14" t="n">
        <v>25</v>
      </c>
      <c r="C8" s="14" t="n">
        <v>19</v>
      </c>
      <c r="D8" s="15">
        <f>IF(OR($B8="",$C8=""),"",$C8/$B8)</f>
        <v/>
      </c>
      <c r="E8" s="15" t="n">
        <v>0.7</v>
      </c>
      <c r="F8" s="14">
        <f>IF($D8="","",IF($D8&gt;=0.7,"On track",IF($D8&gt;=0.5,"Watch","Off track")))</f>
        <v/>
      </c>
      <c r="G8" s="15" t="n">
        <v>0.9</v>
      </c>
      <c r="H8" s="14" t="inlineStr">
        <is>
          <t>All PMs + admin</t>
        </is>
      </c>
    </row>
    <row r="9" ht="30" customHeight="1">
      <c r="A9" s="13" t="inlineStr">
        <is>
          <t>Ticket first response</t>
        </is>
      </c>
      <c r="B9" s="14" t="n">
        <v>8</v>
      </c>
      <c r="C9" s="14" t="n">
        <v>7</v>
      </c>
      <c r="D9" s="15">
        <f>IF(OR($B9="",$C9=""),"",$C9/$B9)</f>
        <v/>
      </c>
      <c r="E9" s="15" t="n">
        <v>0.7</v>
      </c>
      <c r="F9" s="14">
        <f>IF($D9="","",IF($D9&gt;=0.7,"On track",IF($D9&gt;=0.5,"Watch","Off track")))</f>
        <v/>
      </c>
      <c r="G9" s="15" t="n">
        <v>1</v>
      </c>
      <c r="H9" s="14" t="inlineStr">
        <is>
          <t>Service desk</t>
        </is>
      </c>
    </row>
    <row r="11" ht="22" customHeight="1">
      <c r="A11" s="9" t="inlineStr">
        <is>
          <t>SECTION 2: TIME SAVINGS   ·   “Is it saving time?”   ·   refresh: weekly</t>
        </is>
      </c>
    </row>
    <row r="12">
      <c r="A12" s="10" t="inlineStr">
        <is>
          <t>Win / workflow</t>
        </is>
      </c>
      <c r="B12" s="10" t="inlineStr">
        <is>
          <t>Active users</t>
        </is>
      </c>
      <c r="C12" s="10" t="inlineStr">
        <is>
          <t>Hours saved / user / week</t>
        </is>
      </c>
      <c r="D12" s="10" t="inlineStr">
        <is>
          <t>Monthly hours (auto)</t>
        </is>
      </c>
      <c r="E12" s="10" t="inlineStr">
        <is>
          <t>Blended rate $/hr</t>
        </is>
      </c>
      <c r="F12" s="10" t="inlineStr">
        <is>
          <t>Monthly value (auto)</t>
        </is>
      </c>
      <c r="G12" s="10" t="inlineStr">
        <is>
          <t>Annual value (auto)</t>
        </is>
      </c>
      <c r="H12" s="10" t="inlineStr">
        <is>
          <t>How measured (survey · timing · before/after)</t>
        </is>
      </c>
    </row>
    <row r="13" ht="30" customHeight="1">
      <c r="A13" s="11" t="inlineStr">
        <is>
          <t>Invoice processing (example)</t>
        </is>
      </c>
      <c r="B13" s="11" t="n">
        <v>50</v>
      </c>
      <c r="C13" s="24" t="n">
        <v>4</v>
      </c>
      <c r="D13" s="24">
        <f>IF(OR($B13="",$C13=""),"",$B13*$C13*4.3)</f>
        <v/>
      </c>
      <c r="E13" s="25" t="n">
        <v>60</v>
      </c>
      <c r="F13" s="25">
        <f>IF(OR($D13="",$E13=""),"",$D13*$E13)</f>
        <v/>
      </c>
      <c r="G13" s="25">
        <f>IF($F13="","",$F13*12)</f>
        <v/>
      </c>
      <c r="H13" s="11" t="inlineStr">
        <is>
          <t>Before/after timing study, checked against a user survey</t>
        </is>
      </c>
    </row>
    <row r="14" ht="30" customHeight="1">
      <c r="A14" s="13" t="inlineStr">
        <is>
          <t>Proposal drafting</t>
        </is>
      </c>
      <c r="B14" s="14" t="n">
        <v>9</v>
      </c>
      <c r="C14" s="26" t="n">
        <v>3</v>
      </c>
      <c r="D14" s="26">
        <f>IF(OR($B14="",$C14=""),"",$B14*$C14*4.3)</f>
        <v/>
      </c>
      <c r="E14" s="27" t="n">
        <v>75</v>
      </c>
      <c r="F14" s="27">
        <f>IF(OR($D14="",$E14=""),"",$D14*$E14)</f>
        <v/>
      </c>
      <c r="G14" s="27">
        <f>IF($F14="","",$F14*12)</f>
        <v/>
      </c>
      <c r="H14" s="14" t="inlineStr">
        <is>
          <t>Before/after timing on 6 proposals</t>
        </is>
      </c>
    </row>
    <row r="15" ht="30" customHeight="1">
      <c r="A15" s="13" t="inlineStr">
        <is>
          <t>Meeting notes → actions</t>
        </is>
      </c>
      <c r="B15" s="14" t="n">
        <v>19</v>
      </c>
      <c r="C15" s="26" t="n">
        <v>1.5</v>
      </c>
      <c r="D15" s="26">
        <f>IF(OR($B15="",$C15=""),"",$B15*$C15*4.3)</f>
        <v/>
      </c>
      <c r="E15" s="27" t="n">
        <v>60</v>
      </c>
      <c r="F15" s="27">
        <f>IF(OR($D15="",$E15=""),"",$D15*$E15)</f>
        <v/>
      </c>
      <c r="G15" s="27">
        <f>IF($F15="","",$F15*12)</f>
        <v/>
      </c>
      <c r="H15" s="14" t="inlineStr">
        <is>
          <t>User survey, checked against calendars</t>
        </is>
      </c>
    </row>
    <row r="16" ht="30" customHeight="1">
      <c r="A16" s="13" t="inlineStr">
        <is>
          <t>Ticket first response</t>
        </is>
      </c>
      <c r="B16" s="14" t="n">
        <v>7</v>
      </c>
      <c r="C16" s="26" t="n">
        <v>2</v>
      </c>
      <c r="D16" s="26">
        <f>IF(OR($B16="",$C16=""),"",$B16*$C16*4.3)</f>
        <v/>
      </c>
      <c r="E16" s="27" t="n">
        <v>55</v>
      </c>
      <c r="F16" s="27">
        <f>IF(OR($D16="",$E16=""),"",$D16*$E16)</f>
        <v/>
      </c>
      <c r="G16" s="27">
        <f>IF($F16="","",$F16*12)</f>
        <v/>
      </c>
      <c r="H16" s="14" t="inlineStr">
        <is>
          <t>Helpdesk timestamps, before/after</t>
        </is>
      </c>
    </row>
    <row r="18" ht="22" customHeight="1">
      <c r="A18" s="9" t="inlineStr">
        <is>
          <t>SECTION 3: COST IMPACT &amp; ROI   ·   “What's the financial impact?”   ·   refresh: monthly</t>
        </is>
      </c>
    </row>
    <row r="19">
      <c r="A19" s="10" t="inlineStr">
        <is>
          <t>Win / workflow</t>
        </is>
      </c>
      <c r="B19" s="10" t="inlineStr">
        <is>
          <t>Annual gains $ (time + errors + opportunity)</t>
        </is>
      </c>
      <c r="C19" s="10" t="inlineStr">
        <is>
          <t>Annual costs $ (licenses + setup + training + support)</t>
        </is>
      </c>
      <c r="D19" s="10" t="inlineStr">
        <is>
          <t>ROI (auto)</t>
        </is>
      </c>
      <c r="E19" s="10" t="inlineStr">
        <is>
          <t>One-time investment $</t>
        </is>
      </c>
      <c r="F19" s="10" t="inlineStr">
        <is>
          <t>Monthly net gain $</t>
        </is>
      </c>
      <c r="G19" s="10" t="inlineStr">
        <is>
          <t>Payback months (auto)</t>
        </is>
      </c>
      <c r="H19" s="10" t="inlineStr">
        <is>
          <t>Notes</t>
        </is>
      </c>
    </row>
    <row r="20" ht="30" customHeight="1">
      <c r="A20" s="11" t="inlineStr">
        <is>
          <t>Invoice processing (example)</t>
        </is>
      </c>
      <c r="B20" s="25" t="n">
        <v>750000</v>
      </c>
      <c r="C20" s="25" t="n">
        <v>165000</v>
      </c>
      <c r="D20" s="12">
        <f>IF(OR($B20="",$C20="",$C20=0),"",($B20-$C20)/$C20)</f>
        <v/>
      </c>
      <c r="E20" s="25" t="n">
        <v>100000</v>
      </c>
      <c r="F20" s="25" t="n">
        <v>50000</v>
      </c>
      <c r="G20" s="24">
        <f>IF(OR($E20="",$F20="",$F20=0),"",$E20/$F20)</f>
        <v/>
      </c>
      <c r="H20" s="11" t="inlineStr">
        <is>
          <t>Gains = Section 2 value + error reduction + opportunity</t>
        </is>
      </c>
    </row>
    <row r="21" ht="30" customHeight="1">
      <c r="A21" s="13" t="inlineStr">
        <is>
          <t>Proposal drafting</t>
        </is>
      </c>
      <c r="B21" s="27" t="n">
        <v>104000</v>
      </c>
      <c r="C21" s="27" t="n">
        <v>9800</v>
      </c>
      <c r="D21" s="15">
        <f>IF(OR($B21="",$C21="",$C21=0),"",($B21-$C21)/$C21)</f>
        <v/>
      </c>
      <c r="E21" s="27" t="n">
        <v>4500</v>
      </c>
      <c r="F21" s="27" t="n">
        <v>7850</v>
      </c>
      <c r="G21" s="26">
        <f>IF(OR($E21="",$F21="",$F21=0),"",$E21/$F21)</f>
        <v/>
      </c>
      <c r="H21" s="14" t="inlineStr">
        <is>
          <t>Gains = time value + 1 extra deal/quarter</t>
        </is>
      </c>
    </row>
    <row r="22" ht="30" customHeight="1">
      <c r="A22" s="13" t="inlineStr">
        <is>
          <t>Meeting notes → actions</t>
        </is>
      </c>
      <c r="B22" s="27" t="n">
        <v>88000</v>
      </c>
      <c r="C22" s="27" t="n">
        <v>6200</v>
      </c>
      <c r="D22" s="15">
        <f>IF(OR($B22="",$C22="",$C22=0),"",($B22-$C22)/$C22)</f>
        <v/>
      </c>
      <c r="E22" s="27" t="n">
        <v>2000</v>
      </c>
      <c r="F22" s="27" t="n">
        <v>6820</v>
      </c>
      <c r="G22" s="26">
        <f>IF(OR($E22="",$F22="",$F22=0),"",$E22/$F22)</f>
        <v/>
      </c>
      <c r="H22" s="14" t="inlineStr">
        <is>
          <t>Time value only — conservative</t>
        </is>
      </c>
    </row>
    <row r="23" ht="30" customHeight="1">
      <c r="A23" s="13" t="inlineStr">
        <is>
          <t>Ticket first response</t>
        </is>
      </c>
      <c r="B23" s="27" t="n">
        <v>67000</v>
      </c>
      <c r="C23" s="27" t="n">
        <v>5400</v>
      </c>
      <c r="D23" s="15">
        <f>IF(OR($B23="",$C23="",$C23=0),"",($B23-$C23)/$C23)</f>
        <v/>
      </c>
      <c r="E23" s="27" t="n">
        <v>3000</v>
      </c>
      <c r="F23" s="27" t="n">
        <v>5130</v>
      </c>
      <c r="G23" s="26">
        <f>IF(OR($E23="",$F23="",$F23=0),"",$E23/$F23)</f>
        <v/>
      </c>
      <c r="H23" s="14" t="inlineStr">
        <is>
          <t>Time value + churn save (1 account)</t>
        </is>
      </c>
    </row>
    <row r="25" ht="22" customHeight="1">
      <c r="A25" s="9" t="inlineStr">
        <is>
          <t>SECTION 4: USER SATISFACTION   ·   “Do people like it?”   ·   refresh: monthly (after surveys)</t>
        </is>
      </c>
    </row>
    <row r="26">
      <c r="A26" s="10" t="inlineStr">
        <is>
          <t>Win / workflow</t>
        </is>
      </c>
      <c r="B26" s="10" t="inlineStr">
        <is>
          <t>NPS (−100 to +100)</t>
        </is>
      </c>
      <c r="C26" s="10" t="inlineStr">
        <is>
          <t>Confidence (1–10)</t>
        </is>
      </c>
      <c r="D26" s="10" t="inlineStr">
        <is>
          <t>Trust (1–10)</t>
        </is>
      </c>
      <c r="H26" s="10" t="inlineStr">
        <is>
          <t>Best win quote / biggest frustration this month</t>
        </is>
      </c>
    </row>
    <row r="27" ht="30" customHeight="1">
      <c r="A27" s="11" t="inlineStr">
        <is>
          <t>Invoice processing (example)</t>
        </is>
      </c>
      <c r="B27" s="11" t="n">
        <v>50</v>
      </c>
      <c r="C27" s="11" t="n">
        <v>7</v>
      </c>
      <c r="D27" s="11" t="n">
        <v>7</v>
      </c>
      <c r="E27" s="11" t="n"/>
      <c r="F27" s="20" t="n"/>
      <c r="G27" s="21" t="n"/>
      <c r="H27" s="11" t="inlineStr">
        <is>
          <t>“Drafted 20 client proposals in 2 hours — used to take all day.” / “I still double-check the numbers.”</t>
        </is>
      </c>
    </row>
    <row r="28" ht="30" customHeight="1">
      <c r="A28" s="13" t="inlineStr">
        <is>
          <t>Proposal drafting</t>
        </is>
      </c>
      <c r="B28" s="14" t="n">
        <v>45</v>
      </c>
      <c r="C28" s="14" t="n">
        <v>8</v>
      </c>
      <c r="D28" s="14" t="n">
        <v>7</v>
      </c>
      <c r="E28" s="14" t="n"/>
      <c r="F28" s="20" t="n"/>
      <c r="G28" s="21" t="n"/>
      <c r="H28" s="14" t="inlineStr">
        <is>
          <t>“First draft in 20 minutes — I edit instead of staring at a blank page.”</t>
        </is>
      </c>
    </row>
    <row r="29" ht="30" customHeight="1">
      <c r="A29" s="13" t="inlineStr">
        <is>
          <t>Meeting notes → actions</t>
        </is>
      </c>
      <c r="B29" s="14" t="n">
        <v>60</v>
      </c>
      <c r="C29" s="14" t="n">
        <v>8</v>
      </c>
      <c r="D29" s="14" t="n">
        <v>8</v>
      </c>
      <c r="E29" s="14" t="n"/>
      <c r="F29" s="20" t="n"/>
      <c r="G29" s="21" t="n"/>
      <c r="H29" s="14" t="inlineStr">
        <is>
          <t>“Actions have owners before the meeting ends.” / “Speaker labels still slip.”</t>
        </is>
      </c>
    </row>
    <row r="30" ht="30" customHeight="1">
      <c r="A30" s="13" t="inlineStr">
        <is>
          <t>Ticket first response</t>
        </is>
      </c>
      <c r="B30" s="14" t="n">
        <v>38</v>
      </c>
      <c r="C30" s="14" t="n">
        <v>7</v>
      </c>
      <c r="D30" s="14" t="n">
        <v>7</v>
      </c>
      <c r="E30" s="14" t="n"/>
      <c r="F30" s="20" t="n"/>
      <c r="G30" s="21" t="n"/>
      <c r="H30" s="14" t="inlineStr">
        <is>
          <t>“Clients notice the speed.” / “I rewrite the greeting every time.”</t>
        </is>
      </c>
    </row>
    <row r="32" ht="22" customHeight="1">
      <c r="A32" s="9" t="inlineStr">
        <is>
          <t>SECTION 5: BUSINESS OUTCOMES   ·   “Are we hitting our goals?”   ·   refresh: monthly / quarterly</t>
        </is>
      </c>
    </row>
    <row r="33">
      <c r="A33" s="10" t="inlineStr">
        <is>
          <t>Win / workflow</t>
        </is>
      </c>
      <c r="B33" s="10" t="inlineStr">
        <is>
          <t>Strategic KPI (from Module 1)</t>
        </is>
      </c>
      <c r="C33" s="10" t="inlineStr">
        <is>
          <t>Baseline (before)</t>
        </is>
      </c>
      <c r="D33" s="10" t="inlineStr">
        <is>
          <t>Target</t>
        </is>
      </c>
      <c r="E33" s="10" t="inlineStr">
        <is>
          <t>Current (after)</t>
        </is>
      </c>
      <c r="F33" s="10" t="inlineStr">
        <is>
          <t>Progress (auto)</t>
        </is>
      </c>
      <c r="G33" s="10" t="inlineStr">
        <is>
          <t>Status (auto)</t>
        </is>
      </c>
      <c r="H33" s="10" t="inlineStr">
        <is>
          <t>Which business goal this serves</t>
        </is>
      </c>
    </row>
    <row r="34" ht="30" customHeight="1">
      <c r="A34" s="11" t="inlineStr">
        <is>
          <t>Invoice processing (example)</t>
        </is>
      </c>
      <c r="B34" s="11" t="inlineStr">
        <is>
          <t>Invoice processing time (min)</t>
        </is>
      </c>
      <c r="C34" s="11" t="n">
        <v>90</v>
      </c>
      <c r="D34" s="11" t="n">
        <v>45</v>
      </c>
      <c r="E34" s="11" t="n">
        <v>48</v>
      </c>
      <c r="F34" s="12">
        <f>IF(OR($C34="",$D34="",$E34="",$D34=$C34),"",($E34-$C34)/($D34-$C34))</f>
        <v/>
      </c>
      <c r="G34" s="11">
        <f>IF($F34="","",IF($F34&gt;=1,"Met",IF($F34&gt;=0.75,"Close",IF($F34&gt;=0.4,"On track","Early"))))</f>
        <v/>
      </c>
      <c r="H34" s="11" t="inlineStr">
        <is>
          <t>Reduce cost — faster month-end close</t>
        </is>
      </c>
    </row>
    <row r="35" ht="30" customHeight="1">
      <c r="A35" s="13" t="inlineStr">
        <is>
          <t>Proposal drafting</t>
        </is>
      </c>
      <c r="B35" s="14" t="inlineStr">
        <is>
          <t>Proposal turnaround (days)</t>
        </is>
      </c>
      <c r="C35" s="14" t="n">
        <v>5</v>
      </c>
      <c r="D35" s="14" t="n">
        <v>2</v>
      </c>
      <c r="E35" s="14" t="n">
        <v>2.5</v>
      </c>
      <c r="F35" s="15">
        <f>IF(OR($C35="",$D35="",$E35="",$D35=$C35),"",($E35-$C35)/($D35-$C35))</f>
        <v/>
      </c>
      <c r="G35" s="14">
        <f>IF($F35="","",IF($F35&gt;=1,"Met",IF($F35&gt;=0.75,"Close",IF($F35&gt;=0.4,"On track","Early"))))</f>
        <v/>
      </c>
      <c r="H35" s="14" t="n"/>
    </row>
    <row r="36" ht="30" customHeight="1">
      <c r="A36" s="13" t="inlineStr">
        <is>
          <t>Meeting notes → actions</t>
        </is>
      </c>
      <c r="B36" s="14" t="inlineStr">
        <is>
          <t>Admin hours/week on notes</t>
        </is>
      </c>
      <c r="C36" s="14" t="n">
        <v>6</v>
      </c>
      <c r="D36" s="14" t="n">
        <v>1</v>
      </c>
      <c r="E36" s="14" t="n">
        <v>2</v>
      </c>
      <c r="F36" s="15">
        <f>IF(OR($C36="",$D36="",$E36="",$D36=$C36),"",($E36-$C36)/($D36-$C36))</f>
        <v/>
      </c>
      <c r="G36" s="14">
        <f>IF($F36="","",IF($F36&gt;=1,"Met",IF($F36&gt;=0.75,"Close",IF($F36&gt;=0.4,"On track","Early"))))</f>
        <v/>
      </c>
      <c r="H36" s="14" t="n"/>
    </row>
    <row r="37" ht="30" customHeight="1">
      <c r="A37" s="13" t="inlineStr">
        <is>
          <t>Ticket first response</t>
        </is>
      </c>
      <c r="B37" s="14" t="inlineStr">
        <is>
          <t>First-response time (min)</t>
        </is>
      </c>
      <c r="C37" s="14" t="n">
        <v>240</v>
      </c>
      <c r="D37" s="14" t="n">
        <v>30</v>
      </c>
      <c r="E37" s="14" t="n">
        <v>45</v>
      </c>
      <c r="F37" s="15">
        <f>IF(OR($C37="",$D37="",$E37="",$D37=$C37),"",($E37-$C37)/($D37-$C37))</f>
        <v/>
      </c>
      <c r="G37" s="14">
        <f>IF($F37="","",IF($F37&gt;=1,"Met",IF($F37&gt;=0.75,"Close",IF($F37&gt;=0.4,"On track","Early"))))</f>
        <v/>
      </c>
      <c r="H37" s="14" t="n"/>
    </row>
    <row r="39">
      <c r="A39" s="22" t="inlineStr">
        <is>
          <t>Progress works for both directions (lower-is-better and higher-is-better): it measures how far Current has moved from Baseline toward Target.</t>
        </is>
      </c>
    </row>
  </sheetData>
  <mergeCells count="11">
    <mergeCell ref="A18:H18"/>
    <mergeCell ref="A4:H4"/>
    <mergeCell ref="E28:G28"/>
    <mergeCell ref="A39:H39"/>
    <mergeCell ref="A25:H25"/>
    <mergeCell ref="E27:G27"/>
    <mergeCell ref="E26:G26"/>
    <mergeCell ref="A11:H11"/>
    <mergeCell ref="E30:G30"/>
    <mergeCell ref="A32:H32"/>
    <mergeCell ref="E29:G29"/>
  </mergeCells>
  <dataValidations count="1">
    <dataValidation sqref="C27:D30" showDropDown="0" showInputMessage="0" showErrorMessage="0" allowBlank="1" type="list">
      <formula1>"1,2,3,4,5,6,7,8,9,10"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46" customWidth="1" min="4" max="4"/>
    <col width="46" customWidth="1" min="5" max="5"/>
  </cols>
  <sheetData>
    <row r="1">
      <c r="A1" s="7" t="inlineStr">
        <is>
          <t>THE MONTHLY READ — same day each month, twenty minutes, three decisions</t>
        </is>
      </c>
    </row>
    <row r="2" ht="30" customHeight="1">
      <c r="A2" s="2" t="inlineStr">
        <is>
          <t>Scale what's working · fix what isn't · kill what won't. A number that hasn't moved in two reads gets fixed once, then killed. Killing a pilot isn't failure — it's the system working. Zombie pilots are where AI budgets go to die.</t>
        </is>
      </c>
    </row>
    <row r="4">
      <c r="A4" s="23" t="inlineStr">
        <is>
          <t>Win / workflow</t>
        </is>
      </c>
      <c r="B4" s="23" t="inlineStr">
        <is>
          <t>Read date</t>
        </is>
      </c>
      <c r="C4" s="23" t="inlineStr">
        <is>
          <t>Decision</t>
        </is>
      </c>
      <c r="D4" s="23" t="inlineStr">
        <is>
          <t>Why (what the numbers say)</t>
        </is>
      </c>
      <c r="E4" s="23" t="inlineStr">
        <is>
          <t>What changes before the next read</t>
        </is>
      </c>
    </row>
    <row r="5" ht="30" customHeight="1">
      <c r="A5" s="11" t="inlineStr">
        <is>
          <t>Invoice processing (example)</t>
        </is>
      </c>
      <c r="B5" s="11" t="inlineStr">
        <is>
          <t>Sep 1</t>
        </is>
      </c>
      <c r="C5" s="11" t="inlineStr">
        <is>
          <t>Scale</t>
        </is>
      </c>
      <c r="D5" s="11" t="inlineStr">
        <is>
          <t>48 min vs 90 baseline; adoption 73% and climbing</t>
        </is>
      </c>
      <c r="E5" s="11" t="inlineStr">
        <is>
          <t>Roll out to the AP team; second read checks error rate</t>
        </is>
      </c>
    </row>
    <row r="6" ht="30" customHeight="1">
      <c r="A6" s="13" t="inlineStr">
        <is>
          <t>Win #1</t>
        </is>
      </c>
      <c r="B6" s="14" t="n"/>
      <c r="C6" s="14" t="n"/>
      <c r="D6" s="14" t="n"/>
      <c r="E6" s="14" t="n"/>
    </row>
    <row r="7" ht="30" customHeight="1">
      <c r="A7" s="13" t="inlineStr">
        <is>
          <t>Win #2</t>
        </is>
      </c>
      <c r="B7" s="14" t="n"/>
      <c r="C7" s="14" t="n"/>
      <c r="D7" s="14" t="n"/>
      <c r="E7" s="14" t="n"/>
    </row>
    <row r="8" ht="30" customHeight="1">
      <c r="A8" s="13" t="inlineStr">
        <is>
          <t>Win #3</t>
        </is>
      </c>
      <c r="B8" s="14" t="n"/>
      <c r="C8" s="14" t="n"/>
      <c r="D8" s="14" t="n"/>
      <c r="E8" s="14" t="n"/>
    </row>
  </sheetData>
  <mergeCells count="1">
    <mergeCell ref="A2:E2"/>
  </mergeCells>
  <dataValidations count="1">
    <dataValidation sqref="C5:C8" showDropDown="0" showInputMessage="0" showErrorMessage="0" allowBlank="1" type="list">
      <formula1>"Scale,Fix,Kill"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2026-07-26T07:54:08Z</dcterms:created>
  <dcterms:modified xmlns:dcterms="http://purl.org/dc/terms/" xmlns:xsi="http://www.w3.org/2001/XMLSchema-instance" xsi:type="dcterms:W3CDTF">2026-07-26T18:18:47Z</dcterms:modified>
</cp:coreProperties>
</file>